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VC\AppData\Local\PIX\Projects\PIX_Study\Внутренние_заказы\"/>
    </mc:Choice>
  </mc:AlternateContent>
  <xr:revisionPtr revIDLastSave="0" documentId="13_ncr:1_{A71A555E-01F6-4A44-84C7-731D6F953972}" xr6:coauthVersionLast="47" xr6:coauthVersionMax="47" xr10:uidLastSave="{00000000-0000-0000-0000-000000000000}"/>
  <bookViews>
    <workbookView xWindow="12435" yWindow="390" windowWidth="16365" windowHeight="11820" firstSheet="7" activeTab="10" xr2:uid="{F83D7B6C-8098-4621-BDA7-68600DDD1F5C}"/>
  </bookViews>
  <sheets>
    <sheet name="Settings" sheetId="11" r:id="rId1"/>
    <sheet name="Заказы_Реестр" sheetId="19" r:id="rId2"/>
    <sheet name="VA02_Заказы" sheetId="2" r:id="rId3"/>
    <sheet name="VA02_Правила" sheetId="12" r:id="rId4"/>
    <sheet name="VK07_Заказы" sheetId="1" r:id="rId5"/>
    <sheet name="VK07_Правила" sheetId="13" r:id="rId6"/>
    <sheet name="VV01_Заказы" sheetId="5" r:id="rId7"/>
    <sheet name="VV01_Правила" sheetId="16" r:id="rId8"/>
    <sheet name="VP00_Заказы" sheetId="3" r:id="rId9"/>
    <sheet name="VP00_Правила" sheetId="14" r:id="rId10"/>
    <sheet name="VP47_Заказы" sheetId="4" r:id="rId11"/>
    <sheet name="VP47_Правила" sheetId="15" r:id="rId12"/>
    <sheet name="VV15_Заказы" sheetId="6" r:id="rId13"/>
    <sheet name="VV15_Правила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18" l="1"/>
  <c r="A6" i="18"/>
  <c r="A5" i="18"/>
  <c r="A4" i="18"/>
  <c r="A3" i="18"/>
  <c r="A2" i="18"/>
  <c r="A3" i="15"/>
  <c r="A2" i="15"/>
  <c r="A3" i="16"/>
  <c r="A2" i="16"/>
  <c r="A5" i="13"/>
  <c r="A4" i="13"/>
  <c r="A3" i="13"/>
  <c r="A2" i="13"/>
  <c r="A3" i="12"/>
  <c r="A2" i="12"/>
</calcChain>
</file>

<file path=xl/sharedStrings.xml><?xml version="1.0" encoding="utf-8"?>
<sst xmlns="http://schemas.openxmlformats.org/spreadsheetml/2006/main" count="281" uniqueCount="84">
  <si>
    <t>Версия шаблона</t>
  </si>
  <si>
    <t>1.0</t>
  </si>
  <si>
    <t>Мин_длина_описания</t>
  </si>
  <si>
    <t>Путь_к_исходному_файлу</t>
  </si>
  <si>
    <t>C:\RPA_Demo\Input\Orders_To_Create.xlsx</t>
  </si>
  <si>
    <t>Путь_к_логам</t>
  </si>
  <si>
    <t>C:\RPA_Demo\Logs\</t>
  </si>
  <si>
    <t>Отчет_отправлять_на_почту</t>
  </si>
  <si>
    <t>SMTP_сервер</t>
  </si>
  <si>
    <t>Таймаут_SAP</t>
  </si>
  <si>
    <t>Макс_повторов_при_ошибке</t>
  </si>
  <si>
    <t>Пауза_между_заказами_сек</t>
  </si>
  <si>
    <t>Виды заказов_список</t>
  </si>
  <si>
    <t>VA02, VK07, VP00, VP47, VV01, VV11, VV15</t>
  </si>
  <si>
    <t>a.petrosyan@vittecon.ru</t>
  </si>
  <si>
    <t>Профиль расчета</t>
  </si>
  <si>
    <t>Схема перерасчета</t>
  </si>
  <si>
    <t>Статус</t>
  </si>
  <si>
    <t>Номер заказа</t>
  </si>
  <si>
    <t>Краткий текст</t>
  </si>
  <si>
    <t>Вид заказа</t>
  </si>
  <si>
    <t>КонтроллингЕдиница</t>
  </si>
  <si>
    <t>БЕ</t>
  </si>
  <si>
    <t>Завод</t>
  </si>
  <si>
    <t>Функциональная сфера</t>
  </si>
  <si>
    <t>МВП</t>
  </si>
  <si>
    <t>ПоследовСтратегий</t>
  </si>
  <si>
    <t>Схема УчетРезультат</t>
  </si>
  <si>
    <t>Схема происхождения</t>
  </si>
  <si>
    <t>Ссылочная дата</t>
  </si>
  <si>
    <t>№ иерархии</t>
  </si>
  <si>
    <t>Тип</t>
  </si>
  <si>
    <t>Получатель расчета</t>
  </si>
  <si>
    <t>%</t>
  </si>
  <si>
    <t>Сумма</t>
  </si>
  <si>
    <t>Вид расчета</t>
  </si>
  <si>
    <t>№</t>
  </si>
  <si>
    <t>VA02</t>
  </si>
  <si>
    <t>PIX_Аренда Земли</t>
  </si>
  <si>
    <t>DN00000000</t>
  </si>
  <si>
    <t>ОСЧ</t>
  </si>
  <si>
    <t>ОУР</t>
  </si>
  <si>
    <t>CO9H</t>
  </si>
  <si>
    <t>9H</t>
  </si>
  <si>
    <t>Номер заказа (SAP)</t>
  </si>
  <si>
    <t>VK07</t>
  </si>
  <si>
    <t>VP00</t>
  </si>
  <si>
    <t>VP47</t>
  </si>
  <si>
    <t>VV01</t>
  </si>
  <si>
    <t>VV15</t>
  </si>
  <si>
    <t>PIX_Услуга Агента Коммер/Деят</t>
  </si>
  <si>
    <t>PIX_Списание погрешности округлений</t>
  </si>
  <si>
    <t>PIX_Распределение 08 счета</t>
  </si>
  <si>
    <t>PIX_Услуги процессинга Коммерч</t>
  </si>
  <si>
    <t>PIX_Аренда ж/д путей СГК</t>
  </si>
  <si>
    <t>PIX_Пож. депо инв.</t>
  </si>
  <si>
    <t>PIX_Аренда ж/д путей СГК_2</t>
  </si>
  <si>
    <t>PIX_Услуга Агента Коммер/Деят_2</t>
  </si>
  <si>
    <t>ПРД</t>
  </si>
  <si>
    <t>Ответственное МВЗ</t>
  </si>
  <si>
    <t>Запрашивающая БЕ</t>
  </si>
  <si>
    <t>CO9J</t>
  </si>
  <si>
    <t>9J</t>
  </si>
  <si>
    <t>DF</t>
  </si>
  <si>
    <t>ПрисвоениеПроисхож</t>
  </si>
  <si>
    <t>DN0250000D</t>
  </si>
  <si>
    <t>CO90</t>
  </si>
  <si>
    <t>COVP</t>
  </si>
  <si>
    <t>VP</t>
  </si>
  <si>
    <t>DN02300003</t>
  </si>
  <si>
    <t>CO91</t>
  </si>
  <si>
    <t>ИТГ</t>
  </si>
  <si>
    <t>DN02500001</t>
  </si>
  <si>
    <t>CO9B</t>
  </si>
  <si>
    <t>9B</t>
  </si>
  <si>
    <t>DN02500004</t>
  </si>
  <si>
    <t>9M</t>
  </si>
  <si>
    <t>Не создан</t>
  </si>
  <si>
    <t>Контроллинговая единица</t>
  </si>
  <si>
    <t>PIX_СписСтрахования на счет 9123330400</t>
  </si>
  <si>
    <t>Номер заказа (ручной)</t>
  </si>
  <si>
    <t>VV1500000030</t>
  </si>
  <si>
    <t>VV1500000031</t>
  </si>
  <si>
    <t>VV1500000032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</si>
</sst>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0F1115"/>
      <name val="Consolas"/>
      <family val="3"/>
      <charset val="204"/>
    </font>
    <font>
      <sz val="10"/>
      <color rgb="FF0F11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.petrosyan@vittecon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365F-91E8-4807-A629-EB2E7319AE4A}">
  <dimension ref="A1:B12"/>
  <sheetViews>
    <sheetView workbookViewId="0">
      <selection activeCell="D13" sqref="D13"/>
    </sheetView>
  </sheetViews>
  <sheetFormatPr defaultRowHeight="15" x14ac:dyDescent="0.25"/>
  <cols>
    <col min="1" max="1" width="39.28515625" customWidth="1"/>
    <col min="2" max="2" width="49.14062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3" t="s">
        <v>22</v>
      </c>
      <c r="B2" s="4">
        <v>2600</v>
      </c>
    </row>
    <row r="3" spans="1:2" x14ac:dyDescent="0.25">
      <c r="A3" s="3" t="s">
        <v>78</v>
      </c>
      <c r="B3" s="4">
        <v>2600</v>
      </c>
    </row>
    <row r="4" spans="1:2" x14ac:dyDescent="0.25">
      <c r="A4" s="3" t="s">
        <v>12</v>
      </c>
      <c r="B4" s="4" t="s">
        <v>13</v>
      </c>
    </row>
    <row r="5" spans="1:2" x14ac:dyDescent="0.25">
      <c r="A5" s="3" t="s">
        <v>2</v>
      </c>
      <c r="B5" s="4">
        <v>5</v>
      </c>
    </row>
    <row r="6" spans="1:2" x14ac:dyDescent="0.25">
      <c r="A6" s="3" t="s">
        <v>3</v>
      </c>
      <c r="B6" s="4" t="s">
        <v>4</v>
      </c>
    </row>
    <row r="7" spans="1:2" x14ac:dyDescent="0.25">
      <c r="A7" s="3" t="s">
        <v>5</v>
      </c>
      <c r="B7" s="4" t="s">
        <v>6</v>
      </c>
    </row>
    <row r="8" spans="1:2" x14ac:dyDescent="0.25">
      <c r="A8" s="3" t="s">
        <v>7</v>
      </c>
      <c r="B8" s="5" t="s">
        <v>14</v>
      </c>
    </row>
    <row r="9" spans="1:2" x14ac:dyDescent="0.25">
      <c r="A9" s="3" t="s">
        <v>8</v>
      </c>
      <c r="B9" s="4"/>
    </row>
    <row r="10" spans="1:2" x14ac:dyDescent="0.25">
      <c r="A10" s="3" t="s">
        <v>9</v>
      </c>
      <c r="B10" s="4">
        <v>30</v>
      </c>
    </row>
    <row r="11" spans="1:2" x14ac:dyDescent="0.25">
      <c r="A11" s="3" t="s">
        <v>10</v>
      </c>
      <c r="B11" s="4">
        <v>3</v>
      </c>
    </row>
    <row r="12" spans="1:2" x14ac:dyDescent="0.25">
      <c r="A12" s="3" t="s">
        <v>11</v>
      </c>
      <c r="B12" s="4">
        <v>2</v>
      </c>
    </row>
  </sheetData>
  <hyperlinks>
    <hyperlink ref="B8" r:id="rId1" xr:uid="{E08CBE6E-6A92-49A7-9FC2-92CE417C19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3019-F98D-4ACB-9F07-7C014B10F152}">
  <dimension ref="A1:F259"/>
  <sheetViews>
    <sheetView topLeftCell="B1" workbookViewId="0">
      <selection activeCell="C7" sqref="C7"/>
    </sheetView>
  </sheetViews>
  <sheetFormatPr defaultRowHeight="15" x14ac:dyDescent="0.25"/>
  <cols>
    <col min="2" max="2" width="16.5703125" style="7" customWidth="1"/>
    <col min="3" max="3" width="43.7109375" customWidth="1"/>
    <col min="4" max="4" width="32" customWidth="1"/>
    <col min="5" max="5" width="23.5703125" customWidth="1"/>
    <col min="6" max="6" width="29.7109375" customWidth="1"/>
  </cols>
  <sheetData>
    <row r="1" spans="1:6" ht="16.5" x14ac:dyDescent="0.3">
      <c r="A1" s="1" t="s">
        <v>36</v>
      </c>
      <c r="B1" s="6" t="s">
        <v>20</v>
      </c>
      <c r="C1" s="1" t="s">
        <v>19</v>
      </c>
      <c r="D1" s="1" t="s">
        <v>44</v>
      </c>
      <c r="E1" s="1" t="s">
        <v>17</v>
      </c>
      <c r="F1" s="1" t="s">
        <v>80</v>
      </c>
    </row>
    <row r="2" spans="1:6" x14ac:dyDescent="0.25">
      <c r="A2">
        <v>1</v>
      </c>
      <c r="B2" s="7" t="s">
        <v>37</v>
      </c>
      <c r="C2" t="s">
        <v>38</v>
      </c>
      <c r="E2" s="8" t="s">
        <v>77</v>
      </c>
    </row>
    <row r="3" spans="1:6" x14ac:dyDescent="0.25">
      <c r="A3">
        <v>2</v>
      </c>
      <c r="B3" s="7" t="s">
        <v>45</v>
      </c>
      <c r="C3" t="s">
        <v>50</v>
      </c>
      <c r="E3" s="8" t="s">
        <v>77</v>
      </c>
    </row>
    <row r="4" spans="1:6" x14ac:dyDescent="0.25">
      <c r="A4">
        <v>3</v>
      </c>
      <c r="B4" s="7" t="s">
        <v>45</v>
      </c>
      <c r="C4" t="s">
        <v>57</v>
      </c>
      <c r="E4" s="8" t="s">
        <v>77</v>
      </c>
    </row>
    <row r="5" spans="1:6" x14ac:dyDescent="0.25">
      <c r="A5">
        <v>4</v>
      </c>
      <c r="B5" s="7" t="s">
        <v>46</v>
      </c>
      <c r="C5" t="s">
        <v>51</v>
      </c>
      <c r="E5" s="8" t="s">
        <v>77</v>
      </c>
    </row>
    <row r="6" spans="1:6" x14ac:dyDescent="0.25">
      <c r="A6">
        <v>5</v>
      </c>
      <c r="B6" s="7" t="s">
        <v>46</v>
      </c>
      <c r="C6" t="s">
        <v>52</v>
      </c>
      <c r="E6" s="8" t="s">
        <v>77</v>
      </c>
    </row>
    <row r="7" spans="1:6" x14ac:dyDescent="0.25">
      <c r="A7">
        <v>6</v>
      </c>
      <c r="B7" s="7" t="s">
        <v>47</v>
      </c>
      <c r="C7" t="s">
        <v>79</v>
      </c>
      <c r="E7" s="8" t="s">
        <v>77</v>
      </c>
    </row>
    <row r="8" spans="1:6" x14ac:dyDescent="0.25">
      <c r="A8">
        <v>7</v>
      </c>
      <c r="B8" s="7" t="s">
        <v>48</v>
      </c>
      <c r="C8" t="s">
        <v>53</v>
      </c>
      <c r="E8" s="8" t="s">
        <v>77</v>
      </c>
    </row>
    <row r="9" spans="1:6" x14ac:dyDescent="0.25">
      <c r="A9">
        <v>8</v>
      </c>
      <c r="B9" s="7" t="s">
        <v>49</v>
      </c>
      <c r="C9" t="s">
        <v>54</v>
      </c>
      <c r="E9" s="8" t="s">
        <v>77</v>
      </c>
      <c r="F9" t="s">
        <v>81</v>
      </c>
    </row>
    <row r="10" spans="1:6" x14ac:dyDescent="0.25">
      <c r="A10">
        <v>9</v>
      </c>
      <c r="B10" s="7" t="s">
        <v>49</v>
      </c>
      <c r="C10" t="s">
        <v>55</v>
      </c>
      <c r="E10" s="8" t="s">
        <v>77</v>
      </c>
      <c r="F10" t="s">
        <v>82</v>
      </c>
    </row>
    <row r="11" spans="1:6" x14ac:dyDescent="0.25">
      <c r="A11">
        <v>10</v>
      </c>
      <c r="B11" s="7" t="s">
        <v>49</v>
      </c>
      <c r="C11" t="s">
        <v>56</v>
      </c>
      <c r="E11" s="8" t="s">
        <v>77</v>
      </c>
      <c r="F11" t="s">
        <v>83</v>
      </c>
    </row>
    <row r="12" spans="1:6" x14ac:dyDescent="0.25">
      <c r="A12">
        <v>11</v>
      </c>
    </row>
    <row r="13" spans="1:6" x14ac:dyDescent="0.25">
      <c r="A13">
        <v>12</v>
      </c>
      <c r="C13" s="9"/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A5E3-AB56-44FE-B903-9826CEDF62A6}">
  <dimension ref="A1:N2"/>
  <sheetViews>
    <sheetView workbookViewId="0">
      <selection activeCell="C20" sqref="C20"/>
    </sheetView>
  </sheetViews>
  <sheetFormatPr defaultRowHeight="15" x14ac:dyDescent="0.25"/>
  <cols>
    <col min="1" max="1" width="15.85546875" customWidth="1"/>
    <col min="2" max="2" width="21.855468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2.7109375" customWidth="1"/>
    <col min="9" max="9" width="29.28515625" customWidth="1"/>
    <col min="10" max="10" width="27.7109375" customWidth="1"/>
    <col min="11" max="11" width="28" customWidth="1"/>
    <col min="12" max="13" width="20.5703125" customWidth="1"/>
    <col min="14" max="14" width="27.85546875" customWidth="1"/>
  </cols>
  <sheetData>
    <row r="1" spans="1:14" ht="16.5" x14ac:dyDescent="0.3">
      <c r="A1" s="1" t="s">
        <v>20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15</v>
      </c>
      <c r="I1" s="1" t="s">
        <v>16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26</v>
      </c>
    </row>
    <row r="2" spans="1:14" x14ac:dyDescent="0.25">
      <c r="A2" t="s">
        <v>37</v>
      </c>
      <c r="B2" t="s">
        <v>38</v>
      </c>
      <c r="C2">
        <v>2600</v>
      </c>
      <c r="D2">
        <v>2600</v>
      </c>
      <c r="G2" t="s">
        <v>39</v>
      </c>
      <c r="H2" t="s">
        <v>42</v>
      </c>
      <c r="I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65EA-DDCE-42A7-B157-AECA916A6095}">
  <dimension ref="A1:G3"/>
  <sheetViews>
    <sheetView workbookViewId="0">
      <selection activeCell="A2" sqref="A2"/>
    </sheetView>
  </sheetViews>
  <sheetFormatPr defaultRowHeight="15" x14ac:dyDescent="0.25"/>
  <cols>
    <col min="1" max="1" width="18.140625" customWidth="1"/>
    <col min="2" max="2" width="9.5703125" customWidth="1"/>
    <col min="3" max="3" width="26.42578125" customWidth="1"/>
    <col min="4" max="4" width="9" customWidth="1"/>
    <col min="5" max="5" width="17.7109375" customWidth="1"/>
    <col min="6" max="6" width="14.85546875" customWidth="1"/>
    <col min="7" max="7" width="30.28515625" customWidth="1"/>
  </cols>
  <sheetData>
    <row r="1" spans="1:7" ht="16.5" x14ac:dyDescent="0.3">
      <c r="A1" s="1" t="s">
        <v>18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64</v>
      </c>
    </row>
    <row r="2" spans="1:7" x14ac:dyDescent="0.25">
      <c r="A2">
        <f>VLOOKUP(Заказы_Реестр!A2,Заказы_Реестр!A:D,4,FALSE)</f>
        <v>0</v>
      </c>
      <c r="B2" t="s">
        <v>40</v>
      </c>
      <c r="C2">
        <v>9084300000</v>
      </c>
      <c r="D2">
        <v>100</v>
      </c>
      <c r="E2">
        <v>0</v>
      </c>
      <c r="F2" t="s">
        <v>58</v>
      </c>
    </row>
    <row r="3" spans="1:7" x14ac:dyDescent="0.25">
      <c r="A3">
        <f>VLOOKUP(Заказы_Реестр!A2,Заказы_Реестр!A:D,4,FALSE)</f>
        <v>0</v>
      </c>
      <c r="B3" t="s">
        <v>41</v>
      </c>
      <c r="D3">
        <v>100</v>
      </c>
      <c r="E3">
        <v>0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B8FD-5D31-4AE3-AA09-F960E2D874E1}">
  <dimension ref="A1:X3"/>
  <sheetViews>
    <sheetView workbookViewId="0">
      <selection activeCell="F7" sqref="F7"/>
    </sheetView>
  </sheetViews>
  <sheetFormatPr defaultRowHeight="15" x14ac:dyDescent="0.25"/>
  <cols>
    <col min="1" max="1" width="15.85546875" customWidth="1"/>
    <col min="2" max="2" width="36.4257812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8.85546875" customWidth="1"/>
    <col min="10" max="10" width="22.7109375" customWidth="1"/>
    <col min="11" max="11" width="29.28515625" customWidth="1"/>
    <col min="12" max="12" width="27.7109375" customWidth="1"/>
    <col min="13" max="13" width="28" customWidth="1"/>
    <col min="14" max="15" width="20.5703125" customWidth="1"/>
    <col min="16" max="16" width="27.85546875" customWidth="1"/>
    <col min="17" max="17" width="22" customWidth="1"/>
    <col min="18" max="18" width="41.5703125" customWidth="1"/>
    <col min="19" max="19" width="19.140625" customWidth="1"/>
    <col min="20" max="20" width="18.85546875" customWidth="1"/>
    <col min="21" max="21" width="16.140625" customWidth="1"/>
    <col min="22" max="22" width="21.7109375" customWidth="1"/>
    <col min="23" max="23" width="12.7109375" customWidth="1"/>
    <col min="24" max="24" width="32" customWidth="1"/>
  </cols>
  <sheetData>
    <row r="1" spans="1:24" ht="16.5" x14ac:dyDescent="0.3">
      <c r="A1" s="1" t="s">
        <v>20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59</v>
      </c>
      <c r="I1" s="1" t="s">
        <v>60</v>
      </c>
      <c r="J1" s="1" t="s">
        <v>15</v>
      </c>
      <c r="K1" s="1" t="s">
        <v>16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26</v>
      </c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45</v>
      </c>
      <c r="B2" t="s">
        <v>50</v>
      </c>
      <c r="C2">
        <v>2600</v>
      </c>
      <c r="D2">
        <v>2600</v>
      </c>
      <c r="G2" t="s">
        <v>39</v>
      </c>
      <c r="I2">
        <v>2600</v>
      </c>
      <c r="J2" t="s">
        <v>61</v>
      </c>
      <c r="K2" t="s">
        <v>62</v>
      </c>
      <c r="M2" t="s">
        <v>63</v>
      </c>
    </row>
    <row r="3" spans="1:24" x14ac:dyDescent="0.25">
      <c r="A3" t="s">
        <v>45</v>
      </c>
      <c r="B3" t="s">
        <v>57</v>
      </c>
      <c r="C3">
        <v>2600</v>
      </c>
      <c r="D3">
        <v>2600</v>
      </c>
      <c r="G3" t="s">
        <v>39</v>
      </c>
      <c r="I3">
        <v>2600</v>
      </c>
      <c r="J3" t="s">
        <v>61</v>
      </c>
      <c r="K3" t="s">
        <v>62</v>
      </c>
      <c r="M3" t="s">
        <v>63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332A-15B3-40E8-959B-4716C64DC103}">
  <dimension ref="A1:G5"/>
  <sheetViews>
    <sheetView workbookViewId="0">
      <selection activeCell="D13" sqref="D13"/>
    </sheetView>
  </sheetViews>
  <sheetFormatPr defaultRowHeight="15" x14ac:dyDescent="0.25"/>
  <cols>
    <col min="1" max="1" width="18.140625" customWidth="1"/>
    <col min="3" max="3" width="9" customWidth="1"/>
    <col min="4" max="4" width="26.5703125" customWidth="1"/>
    <col min="5" max="5" width="17.7109375" customWidth="1"/>
    <col min="6" max="6" width="14.85546875" customWidth="1"/>
    <col min="7" max="7" width="27.85546875" customWidth="1"/>
  </cols>
  <sheetData>
    <row r="1" spans="1:7" ht="16.5" x14ac:dyDescent="0.3">
      <c r="A1" s="1" t="s">
        <v>18</v>
      </c>
      <c r="B1" s="1" t="s">
        <v>31</v>
      </c>
      <c r="C1" s="1" t="s">
        <v>33</v>
      </c>
      <c r="D1" s="1" t="s">
        <v>32</v>
      </c>
      <c r="E1" s="1" t="s">
        <v>34</v>
      </c>
      <c r="F1" s="1" t="s">
        <v>35</v>
      </c>
      <c r="G1" s="1" t="s">
        <v>64</v>
      </c>
    </row>
    <row r="2" spans="1:7" x14ac:dyDescent="0.25">
      <c r="A2">
        <f>VLOOKUP(Заказы_Реестр!A3,Заказы_Реестр!A:D,4,FALSE)</f>
        <v>0</v>
      </c>
      <c r="B2" t="s">
        <v>40</v>
      </c>
      <c r="C2">
        <v>100</v>
      </c>
      <c r="D2">
        <v>9073000000</v>
      </c>
      <c r="E2">
        <v>0</v>
      </c>
      <c r="F2" t="s">
        <v>58</v>
      </c>
      <c r="G2">
        <v>1</v>
      </c>
    </row>
    <row r="3" spans="1:7" x14ac:dyDescent="0.25">
      <c r="A3">
        <f>VLOOKUP(Заказы_Реестр!A3,Заказы_Реестр!A:D,4,FALSE)</f>
        <v>0</v>
      </c>
      <c r="B3" t="s">
        <v>41</v>
      </c>
      <c r="C3">
        <v>100</v>
      </c>
      <c r="E3">
        <v>0</v>
      </c>
      <c r="F3" t="s">
        <v>58</v>
      </c>
      <c r="G3">
        <v>2</v>
      </c>
    </row>
    <row r="4" spans="1:7" x14ac:dyDescent="0.25">
      <c r="A4">
        <f>VLOOKUP(Заказы_Реестр!A4,Заказы_Реестр!A:D,4,FALSE)</f>
        <v>0</v>
      </c>
      <c r="B4" t="s">
        <v>40</v>
      </c>
      <c r="C4">
        <v>100</v>
      </c>
      <c r="D4">
        <v>9073000000</v>
      </c>
      <c r="E4">
        <v>0</v>
      </c>
      <c r="F4" t="s">
        <v>58</v>
      </c>
      <c r="G4">
        <v>1</v>
      </c>
    </row>
    <row r="5" spans="1:7" x14ac:dyDescent="0.25">
      <c r="A5">
        <f>VLOOKUP(Заказы_Реестр!A4,Заказы_Реестр!A:D,4,FALSE)</f>
        <v>0</v>
      </c>
      <c r="B5" t="s">
        <v>41</v>
      </c>
      <c r="C5">
        <v>100</v>
      </c>
      <c r="E5">
        <v>0</v>
      </c>
      <c r="F5" t="s">
        <v>58</v>
      </c>
      <c r="G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D5FE-ADAA-4A38-809B-54EBE9B4E1C0}">
  <dimension ref="A1:O2"/>
  <sheetViews>
    <sheetView workbookViewId="0">
      <selection activeCell="M24" sqref="M24"/>
    </sheetView>
  </sheetViews>
  <sheetFormatPr defaultRowHeight="15" x14ac:dyDescent="0.25"/>
  <cols>
    <col min="1" max="1" width="15.85546875" customWidth="1"/>
    <col min="2" max="2" width="32.855468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20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59</v>
      </c>
      <c r="I1" s="1" t="s">
        <v>15</v>
      </c>
      <c r="J1" s="1" t="s">
        <v>16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26</v>
      </c>
    </row>
    <row r="2" spans="1:15" x14ac:dyDescent="0.25">
      <c r="A2" t="s">
        <v>48</v>
      </c>
      <c r="B2" t="s">
        <v>53</v>
      </c>
      <c r="C2">
        <v>2600</v>
      </c>
      <c r="D2">
        <v>2600</v>
      </c>
      <c r="G2" t="s">
        <v>39</v>
      </c>
      <c r="H2" t="s">
        <v>65</v>
      </c>
      <c r="I2" t="s">
        <v>66</v>
      </c>
      <c r="J2">
        <v>90</v>
      </c>
      <c r="L2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D410-B544-4ECC-B498-8DD3CC23E85C}">
  <dimension ref="A1:L3"/>
  <sheetViews>
    <sheetView workbookViewId="0">
      <selection activeCell="A2" sqref="A2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  <col min="8" max="8" width="9.85546875" customWidth="1"/>
    <col min="9" max="12" width="14.85546875" customWidth="1"/>
  </cols>
  <sheetData>
    <row r="1" spans="1:12" ht="16.5" x14ac:dyDescent="0.3">
      <c r="A1" s="1" t="s">
        <v>18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64</v>
      </c>
      <c r="H1" s="1"/>
      <c r="I1" s="1"/>
      <c r="J1" s="1"/>
      <c r="K1" s="1"/>
      <c r="L1" s="1"/>
    </row>
    <row r="2" spans="1:12" x14ac:dyDescent="0.25">
      <c r="A2">
        <f>VLOOKUP(Заказы_Реестр!A8,Заказы_Реестр!A:D,4,FALSE)</f>
        <v>0</v>
      </c>
      <c r="B2" t="s">
        <v>40</v>
      </c>
      <c r="C2">
        <v>9021300000</v>
      </c>
      <c r="D2">
        <v>100</v>
      </c>
      <c r="E2">
        <v>0</v>
      </c>
      <c r="F2" t="s">
        <v>58</v>
      </c>
      <c r="G2">
        <v>1</v>
      </c>
    </row>
    <row r="3" spans="1:12" x14ac:dyDescent="0.25">
      <c r="A3">
        <f>VLOOKUP(Заказы_Реестр!A8,Заказы_Реестр!A:D,4,FALSE)</f>
        <v>0</v>
      </c>
      <c r="B3" t="s">
        <v>41</v>
      </c>
      <c r="D3">
        <v>100</v>
      </c>
      <c r="E3">
        <v>0</v>
      </c>
      <c r="F3" t="s">
        <v>58</v>
      </c>
      <c r="G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EEA9-91B1-4B5C-9B9D-E770BF3A3DB7}">
  <dimension ref="A1:O3"/>
  <sheetViews>
    <sheetView workbookViewId="0">
      <selection activeCell="B12" sqref="B12"/>
    </sheetView>
  </sheetViews>
  <sheetFormatPr defaultRowHeight="15" x14ac:dyDescent="0.25"/>
  <cols>
    <col min="1" max="1" width="15.85546875" customWidth="1"/>
    <col min="2" max="2" width="37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20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59</v>
      </c>
      <c r="I1" s="1" t="s">
        <v>15</v>
      </c>
      <c r="J1" s="1" t="s">
        <v>16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26</v>
      </c>
    </row>
    <row r="2" spans="1:15" x14ac:dyDescent="0.25">
      <c r="A2" t="s">
        <v>46</v>
      </c>
      <c r="B2" t="s">
        <v>51</v>
      </c>
      <c r="C2">
        <v>2600</v>
      </c>
      <c r="D2">
        <v>2600</v>
      </c>
      <c r="G2" t="s">
        <v>39</v>
      </c>
      <c r="I2" t="s">
        <v>67</v>
      </c>
      <c r="J2" t="s">
        <v>68</v>
      </c>
    </row>
    <row r="3" spans="1:15" x14ac:dyDescent="0.25">
      <c r="A3" t="s">
        <v>46</v>
      </c>
      <c r="B3" t="s">
        <v>52</v>
      </c>
      <c r="C3">
        <v>2600</v>
      </c>
      <c r="D3">
        <v>2600</v>
      </c>
      <c r="G3" t="s">
        <v>39</v>
      </c>
      <c r="I3" t="s">
        <v>67</v>
      </c>
      <c r="J3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B761-C6CC-47EE-A478-7924E25E53C9}">
  <dimension ref="A1:M1"/>
  <sheetViews>
    <sheetView workbookViewId="0">
      <selection activeCell="D18" sqref="D18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  <col min="8" max="8" width="14.85546875" customWidth="1"/>
    <col min="9" max="9" width="9.85546875" customWidth="1"/>
    <col min="10" max="13" width="14.85546875" customWidth="1"/>
  </cols>
  <sheetData>
    <row r="1" spans="1:13" ht="16.5" x14ac:dyDescent="0.3">
      <c r="A1" s="1" t="s">
        <v>18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64</v>
      </c>
      <c r="H1" s="1"/>
      <c r="I1" s="1"/>
      <c r="J1" s="1"/>
      <c r="K1" s="1"/>
      <c r="L1" s="1"/>
      <c r="M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6DB8-6DE2-4689-B427-40E850C73E10}">
  <dimension ref="A1:O2"/>
  <sheetViews>
    <sheetView tabSelected="1" workbookViewId="0">
      <selection activeCell="B2" sqref="B2"/>
    </sheetView>
  </sheetViews>
  <sheetFormatPr defaultRowHeight="15" x14ac:dyDescent="0.25"/>
  <cols>
    <col min="1" max="1" width="15.85546875" customWidth="1"/>
    <col min="2" max="2" width="44.570312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5" ht="16.5" x14ac:dyDescent="0.3">
      <c r="A1" s="1" t="s">
        <v>20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59</v>
      </c>
      <c r="I1" s="1" t="s">
        <v>15</v>
      </c>
      <c r="J1" s="1" t="s">
        <v>16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26</v>
      </c>
    </row>
    <row r="2" spans="1:15" x14ac:dyDescent="0.25">
      <c r="A2" t="s">
        <v>47</v>
      </c>
      <c r="B2" t="s">
        <v>79</v>
      </c>
      <c r="C2">
        <v>2600</v>
      </c>
      <c r="D2">
        <v>2600</v>
      </c>
      <c r="G2" t="s">
        <v>39</v>
      </c>
      <c r="H2" t="s">
        <v>69</v>
      </c>
      <c r="I2" t="s">
        <v>70</v>
      </c>
      <c r="J2">
        <v>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676D-0C4A-4908-A198-37352168D8E5}">
  <dimension ref="A1:S3"/>
  <sheetViews>
    <sheetView workbookViewId="0">
      <selection activeCell="E20" sqref="E20"/>
    </sheetView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8" max="8" width="26.5703125" customWidth="1"/>
    <col min="9" max="9" width="31.140625" customWidth="1"/>
    <col min="10" max="10" width="9" customWidth="1"/>
    <col min="11" max="11" width="18.140625" customWidth="1"/>
    <col min="12" max="12" width="17.7109375" customWidth="1"/>
    <col min="13" max="14" width="14.85546875" customWidth="1"/>
    <col min="15" max="15" width="9.85546875" customWidth="1"/>
    <col min="16" max="19" width="14.85546875" customWidth="1"/>
  </cols>
  <sheetData>
    <row r="1" spans="1:19" ht="16.5" x14ac:dyDescent="0.3">
      <c r="A1" s="1" t="s">
        <v>18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>
        <f>VLOOKUP(Заказы_Реестр!A7,Заказы_Реестр!A:D,4,FALSE)</f>
        <v>0</v>
      </c>
      <c r="B2" t="s">
        <v>40</v>
      </c>
      <c r="C2">
        <v>9123330400</v>
      </c>
      <c r="D2">
        <v>100</v>
      </c>
      <c r="E2">
        <v>0</v>
      </c>
      <c r="F2" t="s">
        <v>71</v>
      </c>
    </row>
    <row r="3" spans="1:19" x14ac:dyDescent="0.25">
      <c r="A3">
        <f>VLOOKUP(Заказы_Реестр!A7,Заказы_Реестр!A:D,4,FALSE)</f>
        <v>0</v>
      </c>
      <c r="B3" t="s">
        <v>41</v>
      </c>
      <c r="D3">
        <v>100</v>
      </c>
      <c r="E3">
        <v>0</v>
      </c>
      <c r="F3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913A-5F37-422D-8213-C9415D6BCBCA}">
  <dimension ref="A1:P4"/>
  <sheetViews>
    <sheetView workbookViewId="0">
      <selection activeCell="B11" sqref="B11"/>
    </sheetView>
  </sheetViews>
  <sheetFormatPr defaultRowHeight="15" x14ac:dyDescent="0.25"/>
  <cols>
    <col min="1" max="1" width="19.28515625" customWidth="1"/>
    <col min="2" max="2" width="15.7109375" customWidth="1"/>
    <col min="3" max="3" width="31.42578125" customWidth="1"/>
    <col min="4" max="4" width="12.85546875" customWidth="1"/>
    <col min="5" max="5" width="11.140625" customWidth="1"/>
    <col min="6" max="6" width="28.85546875" customWidth="1"/>
    <col min="7" max="7" width="11.5703125" customWidth="1"/>
    <col min="8" max="8" width="23.7109375" customWidth="1"/>
    <col min="9" max="9" width="22.7109375" customWidth="1"/>
    <col min="10" max="10" width="29.28515625" customWidth="1"/>
    <col min="11" max="11" width="27.7109375" customWidth="1"/>
    <col min="12" max="12" width="28" customWidth="1"/>
    <col min="13" max="14" width="20.5703125" customWidth="1"/>
    <col min="15" max="15" width="27.85546875" customWidth="1"/>
  </cols>
  <sheetData>
    <row r="1" spans="1:16" ht="16.5" x14ac:dyDescent="0.3">
      <c r="A1" s="1" t="s">
        <v>18</v>
      </c>
      <c r="B1" s="1" t="s">
        <v>20</v>
      </c>
      <c r="C1" s="1" t="s">
        <v>19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59</v>
      </c>
      <c r="J1" s="1" t="s">
        <v>15</v>
      </c>
      <c r="K1" s="1" t="s">
        <v>16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26</v>
      </c>
    </row>
    <row r="2" spans="1:16" x14ac:dyDescent="0.25">
      <c r="A2" t="s">
        <v>81</v>
      </c>
      <c r="B2" t="s">
        <v>49</v>
      </c>
      <c r="C2" t="s">
        <v>54</v>
      </c>
      <c r="D2">
        <v>2600</v>
      </c>
      <c r="E2">
        <v>2600</v>
      </c>
      <c r="H2" t="s">
        <v>39</v>
      </c>
      <c r="I2" t="s">
        <v>72</v>
      </c>
      <c r="J2" t="s">
        <v>73</v>
      </c>
      <c r="K2" t="s">
        <v>74</v>
      </c>
    </row>
    <row r="3" spans="1:16" x14ac:dyDescent="0.25">
      <c r="A3" t="s">
        <v>82</v>
      </c>
      <c r="B3" t="s">
        <v>49</v>
      </c>
      <c r="C3" t="s">
        <v>55</v>
      </c>
      <c r="D3">
        <v>2600</v>
      </c>
      <c r="E3">
        <v>2600</v>
      </c>
      <c r="H3" t="s">
        <v>39</v>
      </c>
      <c r="I3" t="s">
        <v>75</v>
      </c>
      <c r="J3" t="s">
        <v>73</v>
      </c>
      <c r="K3" t="s">
        <v>76</v>
      </c>
      <c r="M3" t="s">
        <v>63</v>
      </c>
    </row>
    <row r="4" spans="1:16" x14ac:dyDescent="0.25">
      <c r="A4" t="s">
        <v>83</v>
      </c>
      <c r="B4" t="s">
        <v>49</v>
      </c>
      <c r="C4" t="s">
        <v>56</v>
      </c>
      <c r="D4">
        <v>2600</v>
      </c>
      <c r="E4">
        <v>2600</v>
      </c>
      <c r="H4" t="s">
        <v>39</v>
      </c>
      <c r="I4" t="s">
        <v>75</v>
      </c>
      <c r="J4" t="s">
        <v>73</v>
      </c>
      <c r="K4" t="s">
        <v>76</v>
      </c>
      <c r="M4" t="s">
        <v>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3D90-E4C4-49A0-A8F1-720C5663347D}">
  <dimension ref="A1:G7"/>
  <sheetViews>
    <sheetView workbookViewId="0"/>
  </sheetViews>
  <sheetFormatPr defaultRowHeight="15" x14ac:dyDescent="0.25"/>
  <cols>
    <col min="1" max="1" width="18.140625" customWidth="1"/>
    <col min="3" max="3" width="26.5703125" customWidth="1"/>
    <col min="4" max="4" width="9" customWidth="1"/>
    <col min="5" max="5" width="17.7109375" customWidth="1"/>
    <col min="6" max="6" width="14.85546875" customWidth="1"/>
    <col min="7" max="7" width="27.85546875" customWidth="1"/>
  </cols>
  <sheetData>
    <row r="1" spans="1:7" ht="16.5" x14ac:dyDescent="0.3">
      <c r="A1" s="1" t="s">
        <v>18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64</v>
      </c>
    </row>
    <row r="2" spans="1:7" x14ac:dyDescent="0.25">
      <c r="A2">
        <f>VLOOKUP(Заказы_Реестр!A9,Заказы_Реестр!A:D,4,FALSE)</f>
        <v>0</v>
      </c>
      <c r="B2" t="s">
        <v>40</v>
      </c>
      <c r="C2">
        <v>9024300000</v>
      </c>
      <c r="D2">
        <v>100</v>
      </c>
      <c r="E2">
        <v>0</v>
      </c>
      <c r="F2" t="s">
        <v>58</v>
      </c>
    </row>
    <row r="3" spans="1:7" x14ac:dyDescent="0.25">
      <c r="A3">
        <f>VLOOKUP(Заказы_Реестр!A9,Заказы_Реестр!A:D,4,FALSE)</f>
        <v>0</v>
      </c>
      <c r="B3" t="s">
        <v>41</v>
      </c>
      <c r="D3">
        <v>100</v>
      </c>
      <c r="E3">
        <v>0</v>
      </c>
      <c r="F3" t="s">
        <v>58</v>
      </c>
    </row>
    <row r="4" spans="1:7" x14ac:dyDescent="0.25">
      <c r="A4">
        <f>VLOOKUP(Заказы_Реестр!A10,Заказы_Реестр!A:D,4,FALSE)</f>
        <v>0</v>
      </c>
      <c r="B4" t="s">
        <v>40</v>
      </c>
      <c r="C4">
        <v>9024300000</v>
      </c>
      <c r="D4">
        <v>100</v>
      </c>
      <c r="E4">
        <v>0</v>
      </c>
      <c r="F4" t="s">
        <v>58</v>
      </c>
    </row>
    <row r="5" spans="1:7" x14ac:dyDescent="0.25">
      <c r="A5">
        <f>VLOOKUP(Заказы_Реестр!A10,Заказы_Реестр!A:D,4,FALSE)</f>
        <v>0</v>
      </c>
      <c r="B5" t="s">
        <v>41</v>
      </c>
      <c r="D5">
        <v>100</v>
      </c>
      <c r="E5">
        <v>0</v>
      </c>
      <c r="F5" t="s">
        <v>58</v>
      </c>
    </row>
    <row r="6" spans="1:7" x14ac:dyDescent="0.25">
      <c r="A6">
        <f>VLOOKUP(Заказы_Реестр!A11,Заказы_Реестр!A:D,4,FALSE)</f>
        <v>0</v>
      </c>
      <c r="B6" t="s">
        <v>40</v>
      </c>
      <c r="C6">
        <v>9024300000</v>
      </c>
      <c r="D6">
        <v>100</v>
      </c>
      <c r="E6">
        <v>0</v>
      </c>
      <c r="F6" t="s">
        <v>58</v>
      </c>
      <c r="G6">
        <v>1</v>
      </c>
    </row>
    <row r="7" spans="1:7" x14ac:dyDescent="0.25">
      <c r="A7">
        <f>VLOOKUP(Заказы_Реестр!A11,Заказы_Реестр!A:D,4,FALSE)</f>
        <v>0</v>
      </c>
      <c r="B7" t="s">
        <v>41</v>
      </c>
      <c r="D7">
        <v>100</v>
      </c>
      <c r="E7">
        <v>0</v>
      </c>
      <c r="F7" t="s">
        <v>58</v>
      </c>
      <c r="G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Settings</vt:lpstr>
      <vt:lpstr>Заказы_Реестр</vt:lpstr>
      <vt:lpstr>VA02_Заказы</vt:lpstr>
      <vt:lpstr>VA02_Правила</vt:lpstr>
      <vt:lpstr>VK07_Заказы</vt:lpstr>
      <vt:lpstr>VK07_Правила</vt:lpstr>
      <vt:lpstr>VV01_Заказы</vt:lpstr>
      <vt:lpstr>VV01_Правила</vt:lpstr>
      <vt:lpstr>VP00_Заказы</vt:lpstr>
      <vt:lpstr>VP00_Правила</vt:lpstr>
      <vt:lpstr>VP47_Заказы</vt:lpstr>
      <vt:lpstr>VP47_Правила</vt:lpstr>
      <vt:lpstr>VV15_Заказы</vt:lpstr>
      <vt:lpstr>VV15_Правила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Петросян Анна</dc:creator>
  <cp:lastModifiedBy>Петросян Анна</cp:lastModifiedBy>
  <dcterms:created xsi:type="dcterms:W3CDTF">2026-07-02T09:04:35Z</dcterms:created>
  <dcterms:modified xsi:type="dcterms:W3CDTF">2026-07-07T13:04:00Z</dcterms:modified>
</cp:coreProperties>
</file>